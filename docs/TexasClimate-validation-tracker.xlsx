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s" sheetId="1" state="visible" r:id="rId3"/>
    <sheet name="Results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<sst xmlns="http://schemas.openxmlformats.org/spreadsheetml/2006/main" count="121" uniqueCount="118">
  <si>
    <t xml:space="preserve">Participant ID</t>
  </si>
  <si>
    <t xml:space="preserve">Date</t>
  </si>
  <si>
    <t xml:space="preserve">Group</t>
  </si>
  <si>
    <t xml:space="preserve">Screen width (px)</t>
  </si>
  <si>
    <t xml:space="preserve">Device</t>
  </si>
  <si>
    <t xml:space="preserve">Time to 1st correct interp. (s)</t>
  </si>
  <si>
    <t xml:space="preserve">Opened WHY? unprompted</t>
  </si>
  <si>
    <t xml:space="preserve">Facilitator steered?</t>
  </si>
  <si>
    <t xml:space="preserve">Q1 answer (verbatim)</t>
  </si>
  <si>
    <t xml:space="preserve">Q1 score</t>
  </si>
  <si>
    <t xml:space="preserve">Q2 answer (verbatim)</t>
  </si>
  <si>
    <t xml:space="preserve">Q2 score</t>
  </si>
  <si>
    <t xml:space="preserve">Q3 answer (verbatim)</t>
  </si>
  <si>
    <t xml:space="preserve">Q3 score</t>
  </si>
  <si>
    <t xml:space="preserve">Q3 limitation named</t>
  </si>
  <si>
    <t xml:space="preserve">Most confusing part (verbatim)</t>
  </si>
  <si>
    <t xml:space="preserve">Notes</t>
  </si>
  <si>
    <t xml:space="preserve">EXAMPLE - delete</t>
  </si>
  <si>
    <t xml:space="preserve">2026-09-15</t>
  </si>
  <si>
    <t xml:space="preserve">HS science student</t>
  </si>
  <si>
    <t xml:space="preserve">phone</t>
  </si>
  <si>
    <t xml:space="preserve">Y</t>
  </si>
  <si>
    <t xml:space="preserve">N</t>
  </si>
  <si>
    <t xml:space="preserve">Austin looked better. The other one had way more of the water thing.</t>
  </si>
  <si>
    <t xml:space="preserve">The little holes on the leaf shut so it stops taking in air to save water.</t>
  </si>
  <si>
    <t xml:space="preserve">Not that much - it said it never actually measures the plant, and it did not know which variety it was.</t>
  </si>
  <si>
    <t xml:space="preserve">cultivar unknown</t>
  </si>
  <si>
    <t xml:space="preserve">I did not know the WHY button was clickable at first.</t>
  </si>
  <si>
    <t xml:space="preserve">Read aloud the whole time. Found Compare on their own.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</si>
  <si>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</si>
  <si>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</si>
  <si>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</si>
  <si>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</si>
  <si>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</si>
  <si>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</si>
  <si>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</si>
  <si>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</si>
  <si>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</si>
  <si>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</si>
  <si>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</si>
  <si>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</si>
  <si>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</si>
  <si>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</si>
  <si>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</si>
  <si>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</si>
  <si>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</si>
  <si>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</si>
  <si>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</si>
  <si>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</si>
  <si>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</si>
  <si>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</si>
  <si>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</si>
  <si>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</si>
  <si>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</si>
  <si>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</si>
  <si>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</si>
  <si>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</si>
  <si>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</si>
  <si>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</si>
  <si>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Validation results</t>
  </si>
  <si>
    <t xml:space="preserve">Every figure below is a formula over the Sessions tab. Bars were fixed in VALIDATION-PLAN.md before any session ran and must not be edited afterwards.</t>
  </si>
  <si>
    <t xml:space="preserve">SESSIONS</t>
  </si>
  <si>
    <t xml:space="preserve">Participants recorded</t>
  </si>
  <si>
    <t xml:space="preserve">Counts rows with a Group set. Target 8-12; below 8, report as directional only.</t>
  </si>
  <si>
    <t xml:space="preserve">Sessions where you steered</t>
  </si>
  <si>
    <t xml:space="preserve">Keep these in, but disclose the count when reporting.</t>
  </si>
  <si>
    <t xml:space="preserve">Does the key affordance read as clickable? Low here is a design finding, not a user failing.</t>
  </si>
  <si>
    <t xml:space="preserve">Median time to 1st correct interp. (s)</t>
  </si>
  <si>
    <t xml:space="preserve">Median, not mean - one lost participant skews a mean badly at this n.</t>
  </si>
  <si>
    <t xml:space="preserve">COMPREHENSION</t>
  </si>
  <si>
    <t xml:space="preserve">Correct</t>
  </si>
  <si>
    <t xml:space="preserve">Asked</t>
  </si>
  <si>
    <t xml:space="preserve">% correct</t>
  </si>
  <si>
    <t xml:space="preserve">Bar</t>
  </si>
  <si>
    <t xml:space="preserve">Verdict</t>
  </si>
  <si>
    <t xml:space="preserve">Q1 - Direction</t>
  </si>
  <si>
    <t xml:space="preserve">Q2 - Mechanism</t>
  </si>
  <si>
    <t xml:space="preserve">Q3 - Certainty</t>
  </si>
  <si>
    <t xml:space="preserve">BY GROUP</t>
  </si>
  <si>
    <t xml:space="preserve">n</t>
  </si>
  <si>
    <t xml:space="preserve">Q1 %</t>
  </si>
  <si>
    <t xml:space="preserve">Q2 %</t>
  </si>
  <si>
    <t xml:space="preserve">Q3 %</t>
  </si>
  <si>
    <t xml:space="preserve">Teacher</t>
  </si>
  <si>
    <t xml:space="preserve">Non-biology adult</t>
  </si>
  <si>
    <t xml:space="preserve">WHICH LIMITATION DID THEY NAME? (Q3)</t>
  </si>
  <si>
    <t xml:space="preserve">Tells you what the app actually taught, versus what it only displays.</t>
  </si>
  <si>
    <t xml:space="preserve">growth stage unknown</t>
  </si>
  <si>
    <t xml:space="preserve">soil/salinity unknown</t>
  </si>
  <si>
    <t xml:space="preserve">model uncalibrated</t>
  </si>
  <si>
    <t xml:space="preserve">inferred not measured</t>
  </si>
  <si>
    <t xml:space="preserve">nothing about plant measured</t>
  </si>
  <si>
    <t xml:space="preserve">grid not sensor</t>
  </si>
  <si>
    <t xml:space="preserve">data source failed</t>
  </si>
  <si>
    <t xml:space="preserve">GENERIC - does not count</t>
  </si>
  <si>
    <t xml:space="preserve">none given</t>
  </si>
  <si>
    <t xml:space="preserve">Validation results tracker</t>
  </si>
  <si>
    <t xml:space="preserve">Companion to docs/VALIDATION-PLAN.md and docs/VALIDATION-FACILITATOR-SCRIPT.md.</t>
  </si>
  <si>
    <t xml:space="preserve">Which cells you edit</t>
  </si>
  <si>
    <t xml:space="preserve">Only the yellow cells on the Sessions tab. Everything on Results is a formula - do not type over it.</t>
  </si>
  <si>
    <t xml:space="preserve">Row 2 of Sessions is a worked example. Delete that row once you have real data.</t>
  </si>
  <si>
    <t xml:space="preserve">Blue text = you typed it. Black text = calculated.</t>
  </si>
  <si>
    <t xml:space="preserve">One row per participant</t>
  </si>
  <si>
    <t xml:space="preserve">Fill it in immediately after the session, while it is fresh - not at the end of the day.</t>
  </si>
  <si>
    <t xml:space="preserve">Paste answers VERBATIM. Your summary of what they meant is not data.</t>
  </si>
  <si>
    <t xml:space="preserve">Score 1 or 0 against the rubric in the facilitator script, not against your impression.</t>
  </si>
  <si>
    <t xml:space="preserve">Two things people get wrong here</t>
  </si>
  <si>
    <t xml:space="preserve">1. Do not edit the bars on the Results tab. They were fixed before the first session. A bar</t>
  </si>
  <si>
    <t xml:space="preserve">   moved afterwards to clear the data is not a bar, and a reviewer will spot it.</t>
  </si>
  <si>
    <t xml:space="preserve">2. Do not change the app between sessions. If you do, you have tested two different apps and</t>
  </si>
  <si>
    <t xml:space="preserve">   the runs cannot be pooled. Note the change and start a fresh block.</t>
  </si>
  <si>
    <t xml:space="preserve">Reporting</t>
  </si>
  <si>
    <t xml:space="preserve">BELOW BAR is a finding, not a failure. "8 of 10 could rank the two sites, but only 3 could say</t>
  </si>
  <si>
    <t xml:space="preserve">why the answer was uncertain" is a more useful sentence than any number above the bar, and it</t>
  </si>
  <si>
    <t xml:space="preserve">points straight at what to build next.</t>
  </si>
  <si>
    <t xml:space="preserve">Disclose n, the steered-session count, and that recruitment was non-random. At this size the</t>
  </si>
  <si>
    <t xml:space="preserve">result is a usability finding, never evidence of demand or impact.</t>
  </si>
  <si>
    <t xml:space="preserve">Never record a session that did not happen.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</si>
</sst>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EEEE"/>
        <bgColor rgb="FFE2EFDA"/>
      </patternFill>
    </fill>
    <fill>
      <patternFill patternType="solid">
        <fgColor rgb="FFFFF2CC"/>
        <bgColor rgb="FFEEEEEE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EEEEE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8"/>
    <col collapsed="false" customWidth="true" hidden="false" outlineLevel="0" max="11" min="11" style="0" width="40"/>
    <col collapsed="false" customWidth="true" hidden="false" outlineLevel="0" max="12" min="12" style="0" width="8"/>
    <col collapsed="false" customWidth="true" hidden="false" outlineLevel="0" max="13" min="13" style="0" width="40"/>
    <col collapsed="false" customWidth="true" hidden="false" outlineLevel="0" max="14" min="14" style="0" width="8"/>
    <col collapsed="false" customWidth="true" hidden="false" outlineLevel="0" max="15" min="15" style="0" width="24"/>
    <col collapsed="false" customWidth="true" hidden="false" outlineLevel="0" max="16" min="16" style="0" width="40"/>
    <col collapsed="false" customWidth="true" hidden="false" outlineLevel="0" max="17" min="17" style="0" width="3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5.75" hidden="false" customHeight="true" outlineLevel="0" collapsed="false">
      <c r="A2" s="2" t="s">
        <v>17</v>
      </c>
      <c r="B2" s="2" t="s">
        <v>18</v>
      </c>
      <c r="C2" s="2" t="s">
        <v>19</v>
      </c>
      <c r="D2" s="2" t="n">
        <v>390</v>
      </c>
      <c r="E2" s="2" t="s">
        <v>20</v>
      </c>
      <c r="F2" s="2" t="n">
        <v>218</v>
      </c>
      <c r="G2" s="2" t="s">
        <v>21</v>
      </c>
      <c r="H2" s="2" t="s">
        <v>22</v>
      </c>
      <c r="I2" s="2" t="s">
        <v>23</v>
      </c>
      <c r="J2" s="2" t="n">
        <v>1</v>
      </c>
      <c r="K2" s="2" t="s">
        <v>24</v>
      </c>
      <c r="L2" s="2" t="n">
        <v>1</v>
      </c>
      <c r="M2" s="2" t="s">
        <v>25</v>
      </c>
      <c r="N2" s="2" t="n">
        <v>1</v>
      </c>
      <c r="O2" s="2" t="s">
        <v>26</v>
      </c>
      <c r="P2" s="2" t="s">
        <v>27</v>
      </c>
      <c r="Q2" s="2" t="s">
        <v>28</v>
      </c>
    </row>
    <row r="3" customFormat="false" ht="30" hidden="false" customHeight="true" outlineLevel="0" collapsed="false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0" hidden="false" customHeight="tru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30" hidden="false" customHeight="true" outlineLevel="0" collapsed="false">
      <c r="A5" s="3" t="s">
        <v>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30" hidden="false" customHeight="true" outlineLevel="0" collapsed="false">
      <c r="A6" s="3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customFormat="false" ht="30" hidden="false" customHeight="true" outlineLevel="0" collapsed="false">
      <c r="A7" s="3" t="s">
        <v>33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customFormat="false" ht="30" hidden="false" customHeight="true" outlineLevel="0" collapsed="false">
      <c r="A8" s="3" t="s">
        <v>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customFormat="false" ht="30" hidden="false" customHeight="true" outlineLevel="0" collapsed="false">
      <c r="A9" s="3" t="s">
        <v>35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customFormat="false" ht="30" hidden="false" customHeight="true" outlineLevel="0" collapsed="false">
      <c r="A10" s="3" t="s">
        <v>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customFormat="false" ht="30" hidden="false" customHeight="true" outlineLevel="0" collapsed="false">
      <c r="A11" s="3" t="s">
        <v>37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customFormat="false" ht="30" hidden="false" customHeight="true" outlineLevel="0" collapsed="false">
      <c r="A12" s="3" t="s">
        <v>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customFormat="false" ht="30" hidden="false" customHeight="true" outlineLevel="0" collapsed="false">
      <c r="A13" s="3" t="s">
        <v>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customFormat="false" ht="30" hidden="false" customHeight="true" outlineLevel="0" collapsed="false">
      <c r="A14" s="3" t="s">
        <v>40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customFormat="false" ht="30" hidden="false" customHeight="true" outlineLevel="0" collapsed="false">
      <c r="A15" s="3" t="s">
        <v>41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customFormat="false" ht="30" hidden="false" customHeight="true" outlineLevel="0" collapsed="false">
      <c r="A16" s="3" t="s">
        <v>42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customFormat="false" ht="30" hidden="false" customHeight="true" outlineLevel="0" collapsed="false">
      <c r="A17" s="3" t="s">
        <v>43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customFormat="false" ht="30" hidden="false" customHeight="true" outlineLevel="0" collapsed="false">
      <c r="A18" s="3" t="s">
        <v>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customFormat="false" ht="30" hidden="false" customHeight="true" outlineLevel="0" collapsed="false">
      <c r="A19" s="3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customFormat="false" ht="30" hidden="false" customHeight="true" outlineLevel="0" collapsed="false">
      <c r="A20" s="3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customFormat="false" ht="30" hidden="false" customHeight="true" outlineLevel="0" collapsed="false">
      <c r="A21" s="3" t="s">
        <v>47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customFormat="false" ht="30" hidden="false" customHeight="true" outlineLevel="0" collapsed="false">
      <c r="A22" s="3" t="s">
        <v>48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customFormat="false" ht="30" hidden="false" customHeight="true" outlineLevel="0" collapsed="false">
      <c r="A23" s="3" t="s">
        <v>49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customFormat="false" ht="30" hidden="false" customHeight="true" outlineLevel="0" collapsed="false">
      <c r="A24" s="3" t="s">
        <v>50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customFormat="false" ht="30" hidden="false" customHeight="true" outlineLevel="0" collapsed="false">
      <c r="A25" s="3" t="s">
        <v>51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customFormat="false" ht="30" hidden="false" customHeight="true" outlineLevel="0" collapsed="false">
      <c r="A26" s="3" t="s">
        <v>52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customFormat="false" ht="30" hidden="false" customHeight="true" outlineLevel="0" collapsed="false">
      <c r="A27" s="3" t="s">
        <v>53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customFormat="false" ht="30" hidden="false" customHeight="true" outlineLevel="0" collapsed="false">
      <c r="A28" s="3" t="s">
        <v>54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customFormat="false" ht="30" hidden="false" customHeight="true" outlineLevel="0" collapsed="false">
      <c r="A29" s="3" t="s">
        <v>55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customFormat="false" ht="30" hidden="false" customHeight="true" outlineLevel="0" collapsed="false">
      <c r="A30" s="3" t="s">
        <v>56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customFormat="false" ht="30" hidden="false" customHeight="true" outlineLevel="0" collapsed="false">
      <c r="A31" s="3" t="s">
        <v>57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customFormat="false" ht="30" hidden="false" customHeight="true" outlineLevel="0" collapsed="false">
      <c r="A32" s="3" t="s">
        <v>58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</sheetData>
  <dataValidations count="7">
    <dataValidation allowBlank="true" errorStyle="stop" operator="between" prompt="Target mix: 8-12 total, 2-3 teachers, 1-2 non-biology." promptTitle="Group" showDropDown="false" showErrorMessage="false" showInputMessage="true" sqref="C3:C32" type="list">
      <formula1>"HS science student,Teacher,Non-biology adult"</formula1>
      <formula2>0</formula2>
    </dataValidation>
    <dataValidation allowBlank="true" errorStyle="stop" operator="between" prompt="Y only if they opened it WITHOUT any hint from you." promptTitle="Opened WHY? unprompted" showDropDown="false" showErrorMessage="false" showInputMessage="true" sqref="G3:G32" type="list">
      <formula1>"Y,N"</formula1>
      <formula2>0</formula2>
    </dataValidation>
    <dataValidation allowBlank="true" errorStyle="stop" operator="between" prompt="Y if you hinted, pointed or reacted. Mark it - do not discard the session." promptTitle="Facilitator steered?" showDropDown="false" showErrorMessage="false" showInputMessage="true" sqref="H3:H32" type="list">
      <formula1>"Y,N"</formula1>
      <formula2>0</formula2>
    </dataValidation>
    <dataValidation allowBlank="true" errorStyle="stop" operator="between" prompt="1 = correct, 0 = incorrect, blank = not asked. Score against the rubric, not your impression." promptTitle="Score" showDropDown="false" showErrorMessage="false" showInputMessage="true" sqref="J3:J32" type="list">
      <formula1>"1,0"</formula1>
      <formula2>0</formula2>
    </dataValidation>
    <dataValidation allowBlank="true" errorStyle="stop" operator="between" prompt="1 = correct, 0 = incorrect, blank = not asked. Score against the rubric, not your impression." promptTitle="Score" showDropDown="false" showErrorMessage="false" showInputMessage="true" sqref="L3:L32" type="list">
      <formula1>"1,0"</formula1>
      <formula2>0</formula2>
    </dataValidation>
    <dataValidation allowBlank="true" errorStyle="stop" operator="between" prompt="1 = correct, 0 = incorrect, blank = not asked. Score against the rubric, not your impression." promptTitle="Score" showDropDown="false" showErrorMessage="false" showInputMessage="true" sqref="N3:N32" type="list">
      <formula1>"1,0"</formula1>
      <formula2>0</formula2>
    </dataValidation>
    <dataValidation allowBlank="true" errorStyle="stop" operator="between" prompt="Only the app-reported ones count. GENERIC scores 0 on Q3." promptTitle="Which limitation" showDropDown="false" showErrorMessage="false" showInputMessage="true" sqref="O3:O32" type="list">
      <formula1>"cultivar unknown,growth stage unknown,soil/salinity unknown,model uncalibrated,inferred not measured,nothing about plant measured,grid not sensor,data source failed,GENERIC - does not count,none given"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5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4" t="s">
        <v>59</v>
      </c>
    </row>
    <row r="2" customFormat="false" ht="15" hidden="false" customHeight="false" outlineLevel="0" collapsed="false">
      <c r="A2" s="5" t="s">
        <v>60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61</v>
      </c>
      <c r="B4" s="6"/>
      <c r="C4" s="6"/>
      <c r="D4" s="6"/>
      <c r="E4" s="6"/>
      <c r="F4" s="6"/>
    </row>
    <row r="5" customFormat="false" ht="22.35" hidden="false" customHeight="false" outlineLevel="0" collapsed="false">
      <c r="A5" s="7" t="s">
        <v>62</v>
      </c>
      <c r="B5" s="7" t="n">
        <f aca="false">COUNTA(Sessions!C3:C32)</f>
        <v>0</v>
      </c>
      <c r="F5" s="8" t="s">
        <v>63</v>
      </c>
    </row>
    <row r="6" customFormat="false" ht="15" hidden="false" customHeight="false" outlineLevel="0" collapsed="false">
      <c r="A6" s="7" t="s">
        <v>64</v>
      </c>
      <c r="B6" s="7" t="n">
        <f aca="false">COUNTIF(Sessions!H3:H32,"Y")</f>
        <v>0</v>
      </c>
      <c r="F6" s="8" t="s">
        <v>65</v>
      </c>
    </row>
    <row r="7" customFormat="false" ht="22.35" hidden="false" customHeight="false" outlineLevel="0" collapsed="false">
      <c r="A7" s="7" t="s">
        <v>6</v>
      </c>
      <c r="B7" s="7" t="str">
        <f aca="false">IFERROR(COUNTIF(Sessions!G3:G32,"Y")/COUNTA(Sessions!G3:G32),"")</f>
        <v/>
      </c>
      <c r="F7" s="8" t="s">
        <v>66</v>
      </c>
    </row>
    <row r="8" customFormat="false" ht="15" hidden="false" customHeight="false" outlineLevel="0" collapsed="false">
      <c r="A8" s="7" t="s">
        <v>67</v>
      </c>
      <c r="B8" s="7" t="str">
        <f aca="false">IFERROR(MEDIAN(Sessions!F3:F32),"")</f>
        <v/>
      </c>
      <c r="F8" s="8" t="s">
        <v>68</v>
      </c>
    </row>
    <row r="10" customFormat="false" ht="15" hidden="false" customHeight="false" outlineLevel="0" collapsed="false">
      <c r="A10" s="6" t="s">
        <v>69</v>
      </c>
      <c r="B10" s="6" t="s">
        <v>70</v>
      </c>
      <c r="C10" s="6" t="s">
        <v>71</v>
      </c>
      <c r="D10" s="6" t="s">
        <v>72</v>
      </c>
      <c r="E10" s="6" t="s">
        <v>73</v>
      </c>
      <c r="F10" s="6" t="s">
        <v>74</v>
      </c>
    </row>
    <row r="11" customFormat="false" ht="15" hidden="false" customHeight="false" outlineLevel="0" collapsed="false">
      <c r="A11" s="7" t="s">
        <v>75</v>
      </c>
      <c r="B11" s="7" t="n">
        <f aca="false">COUNTIF(Sessions!J3:J32,1)</f>
        <v>0</v>
      </c>
      <c r="C11" s="7" t="n">
        <f aca="false">COUNT(Sessions!J3:J32)</f>
        <v>0</v>
      </c>
      <c r="D11" s="9" t="str">
        <f aca="false">IFERROR(COUNTIF(Sessions!J3:J32,1)/COUNT(Sessions!J3:J32),"")</f>
        <v/>
      </c>
      <c r="E11" s="10" t="n">
        <v>0.8</v>
      </c>
      <c r="F11" s="11" t="str">
        <f aca="false">IF(COUNTA(Sessions!C3:C32)=0,"no sessions yet",IF(D11="","",IF(D11&gt;=E11,"PASS","BELOW BAR - report it")))</f>
        <v>no sessions yet</v>
      </c>
    </row>
    <row r="12" customFormat="false" ht="15" hidden="false" customHeight="false" outlineLevel="0" collapsed="false">
      <c r="A12" s="7" t="s">
        <v>76</v>
      </c>
      <c r="B12" s="7" t="n">
        <f aca="false">COUNTIF(Sessions!L3:L32,1)</f>
        <v>0</v>
      </c>
      <c r="C12" s="7" t="n">
        <f aca="false">COUNT(Sessions!L3:L32)</f>
        <v>0</v>
      </c>
      <c r="D12" s="9" t="str">
        <f aca="false">IFERROR(COUNTIF(Sessions!L3:L32,1)/COUNT(Sessions!L3:L32),"")</f>
        <v/>
      </c>
      <c r="E12" s="10" t="n">
        <v>0.6</v>
      </c>
      <c r="F12" s="11" t="str">
        <f aca="false">IF(COUNTA(Sessions!C3:C32)=0,"no sessions yet",IF(D12="","",IF(D12&gt;=E12,"PASS","BELOW BAR - report it")))</f>
        <v>no sessions yet</v>
      </c>
    </row>
    <row r="13" customFormat="false" ht="15" hidden="false" customHeight="false" outlineLevel="0" collapsed="false">
      <c r="A13" s="7" t="s">
        <v>77</v>
      </c>
      <c r="B13" s="7" t="n">
        <f aca="false">COUNTIF(Sessions!N3:N32,1)</f>
        <v>0</v>
      </c>
      <c r="C13" s="7" t="n">
        <f aca="false">COUNT(Sessions!N3:N32)</f>
        <v>0</v>
      </c>
      <c r="D13" s="9" t="str">
        <f aca="false">IFERROR(COUNTIF(Sessions!N3:N32,1)/COUNT(Sessions!N3:N32),"")</f>
        <v/>
      </c>
      <c r="E13" s="10" t="n">
        <v>0.6</v>
      </c>
      <c r="F13" s="11" t="str">
        <f aca="false">IF(COUNTA(Sessions!C3:C32)=0,"no sessions yet",IF(D13="","",IF(D13&gt;=E13,"PASS","BELOW BAR - report it")))</f>
        <v>no sessions yet</v>
      </c>
    </row>
    <row r="15" customFormat="false" ht="15" hidden="false" customHeight="false" outlineLevel="0" collapsed="false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82</v>
      </c>
      <c r="F15" s="12"/>
    </row>
    <row r="16" customFormat="false" ht="15" hidden="false" customHeight="false" outlineLevel="0" collapsed="false">
      <c r="A16" s="7" t="s">
        <v>19</v>
      </c>
      <c r="B16" s="7" t="n">
        <f aca="false">COUNTIF(Sessions!C3:C32,"HS science student")</f>
        <v>0</v>
      </c>
      <c r="C16" s="9" t="str">
        <f aca="false">IFERROR(COUNTIFS(Sessions!C3:C32,"HS science student",Sessions!J3:J32,1)/COUNTIFS(Sessions!C3:C32,"HS science student",Sessions!J3:J32,"&lt;&gt;"),"")</f>
        <v/>
      </c>
      <c r="D16" s="9" t="str">
        <f aca="false">IFERROR(COUNTIFS(Sessions!C3:C32,"HS science student",Sessions!L3:L32,1)/COUNTIFS(Sessions!C3:C32,"HS science student",Sessions!L3:L32,"&lt;&gt;"),"")</f>
        <v/>
      </c>
      <c r="E16" s="9" t="str">
        <f aca="false">IFERROR(COUNTIFS(Sessions!C3:C32,"HS science student",Sessions!N3:N32,1)/COUNTIFS(Sessions!C3:C32,"HS science student",Sessions!N3:N32,"&lt;&gt;"),"")</f>
        <v/>
      </c>
    </row>
    <row r="17" customFormat="false" ht="15" hidden="false" customHeight="false" outlineLevel="0" collapsed="false">
      <c r="A17" s="7" t="s">
        <v>83</v>
      </c>
      <c r="B17" s="7" t="n">
        <f aca="false">COUNTIF(Sessions!C3:C32,"Teacher")</f>
        <v>0</v>
      </c>
      <c r="C17" s="9" t="str">
        <f aca="false">IFERROR(COUNTIFS(Sessions!C3:C32,"Teacher",Sessions!J3:J32,1)/COUNTIFS(Sessions!C3:C32,"Teacher",Sessions!J3:J32,"&lt;&gt;"),"")</f>
        <v/>
      </c>
      <c r="D17" s="9" t="str">
        <f aca="false">IFERROR(COUNTIFS(Sessions!C3:C32,"Teacher",Sessions!L3:L32,1)/COUNTIFS(Sessions!C3:C32,"Teacher",Sessions!L3:L32,"&lt;&gt;"),"")</f>
        <v/>
      </c>
      <c r="E17" s="9" t="str">
        <f aca="false">IFERROR(COUNTIFS(Sessions!C3:C32,"Teacher",Sessions!N3:N32,1)/COUNTIFS(Sessions!C3:C32,"Teacher",Sessions!N3:N32,"&lt;&gt;"),"")</f>
        <v/>
      </c>
    </row>
    <row r="18" customFormat="false" ht="15" hidden="false" customHeight="false" outlineLevel="0" collapsed="false">
      <c r="A18" s="7" t="s">
        <v>84</v>
      </c>
      <c r="B18" s="7" t="n">
        <f aca="false">COUNTIF(Sessions!C3:C32,"Non-biology adult")</f>
        <v>0</v>
      </c>
      <c r="C18" s="9" t="str">
        <f aca="false">IFERROR(COUNTIFS(Sessions!C3:C32,"Non-biology adult",Sessions!J3:J32,1)/COUNTIFS(Sessions!C3:C32,"Non-biology adult",Sessions!J3:J32,"&lt;&gt;"),"")</f>
        <v/>
      </c>
      <c r="D18" s="9" t="str">
        <f aca="false">IFERROR(COUNTIFS(Sessions!C3:C32,"Non-biology adult",Sessions!L3:L32,1)/COUNTIFS(Sessions!C3:C32,"Non-biology adult",Sessions!L3:L32,"&lt;&gt;"),"")</f>
        <v/>
      </c>
      <c r="E18" s="9" t="str">
        <f aca="false">IFERROR(COUNTIFS(Sessions!C3:C32,"Non-biology adult",Sessions!N3:N32,1)/COUNTIFS(Sessions!C3:C32,"Non-biology adult",Sessions!N3:N32,"&lt;&gt;"),"")</f>
        <v/>
      </c>
    </row>
    <row r="20" customFormat="false" ht="15" hidden="false" customHeight="false" outlineLevel="0" collapsed="false">
      <c r="A20" s="6" t="s">
        <v>85</v>
      </c>
      <c r="B20" s="12"/>
      <c r="C20" s="12"/>
      <c r="D20" s="12"/>
      <c r="E20" s="12"/>
      <c r="F20" s="12"/>
    </row>
    <row r="21" customFormat="false" ht="15" hidden="false" customHeight="false" outlineLevel="0" collapsed="false">
      <c r="A21" s="13" t="s">
        <v>86</v>
      </c>
    </row>
    <row r="22" customFormat="false" ht="15" hidden="false" customHeight="false" outlineLevel="0" collapsed="false">
      <c r="A22" s="7" t="s">
        <v>26</v>
      </c>
      <c r="B22" s="7" t="n">
        <f aca="false">COUNTIF(Sessions!O3:O32,"cultivar unknown")</f>
        <v>0</v>
      </c>
    </row>
    <row r="23" customFormat="false" ht="15" hidden="false" customHeight="false" outlineLevel="0" collapsed="false">
      <c r="A23" s="7" t="s">
        <v>87</v>
      </c>
      <c r="B23" s="7" t="n">
        <f aca="false">COUNTIF(Sessions!O3:O32,"growth stage unknown")</f>
        <v>0</v>
      </c>
    </row>
    <row r="24" customFormat="false" ht="15" hidden="false" customHeight="false" outlineLevel="0" collapsed="false">
      <c r="A24" s="7" t="s">
        <v>88</v>
      </c>
      <c r="B24" s="7" t="n">
        <f aca="false">COUNTIF(Sessions!O3:O32,"soil/salinity unknown")</f>
        <v>0</v>
      </c>
    </row>
    <row r="25" customFormat="false" ht="15" hidden="false" customHeight="false" outlineLevel="0" collapsed="false">
      <c r="A25" s="7" t="s">
        <v>89</v>
      </c>
      <c r="B25" s="7" t="n">
        <f aca="false">COUNTIF(Sessions!O3:O32,"model uncalibrated")</f>
        <v>0</v>
      </c>
    </row>
    <row r="26" customFormat="false" ht="15" hidden="false" customHeight="false" outlineLevel="0" collapsed="false">
      <c r="A26" s="7" t="s">
        <v>90</v>
      </c>
      <c r="B26" s="7" t="n">
        <f aca="false">COUNTIF(Sessions!O3:O32,"inferred not measured")</f>
        <v>0</v>
      </c>
    </row>
    <row r="27" customFormat="false" ht="15" hidden="false" customHeight="false" outlineLevel="0" collapsed="false">
      <c r="A27" s="7" t="s">
        <v>91</v>
      </c>
      <c r="B27" s="7" t="n">
        <f aca="false">COUNTIF(Sessions!O3:O32,"nothing about plant measured")</f>
        <v>0</v>
      </c>
    </row>
    <row r="28" customFormat="false" ht="15" hidden="false" customHeight="false" outlineLevel="0" collapsed="false">
      <c r="A28" s="7" t="s">
        <v>92</v>
      </c>
      <c r="B28" s="7" t="n">
        <f aca="false">COUNTIF(Sessions!O3:O32,"grid not sensor")</f>
        <v>0</v>
      </c>
    </row>
    <row r="29" customFormat="false" ht="15" hidden="false" customHeight="false" outlineLevel="0" collapsed="false">
      <c r="A29" s="7" t="s">
        <v>93</v>
      </c>
      <c r="B29" s="7" t="n">
        <f aca="false">COUNTIF(Sessions!O3:O32,"data source failed")</f>
        <v>0</v>
      </c>
    </row>
    <row r="30" customFormat="false" ht="15" hidden="false" customHeight="false" outlineLevel="0" collapsed="false">
      <c r="A30" s="7" t="s">
        <v>94</v>
      </c>
      <c r="B30" s="7" t="n">
        <f aca="false">COUNTIF(Sessions!O3:O32,"GENERIC - does not count")</f>
        <v>0</v>
      </c>
    </row>
    <row r="31" customFormat="false" ht="15" hidden="false" customHeight="false" outlineLevel="0" collapsed="false">
      <c r="A31" s="7" t="s">
        <v>95</v>
      </c>
      <c r="B31" s="7" t="n">
        <f aca="false">COUNTIF(Sessions!O3:O32,"none given")</f>
        <v>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4" t="s">
        <v>96</v>
      </c>
    </row>
    <row r="2" customFormat="false" ht="15" hidden="false" customHeight="false" outlineLevel="0" collapsed="false">
      <c r="A2" s="13" t="s">
        <v>97</v>
      </c>
    </row>
    <row r="3" customFormat="false" ht="15" hidden="false" customHeight="false" outlineLevel="0" collapsed="false">
      <c r="A3" s="7"/>
    </row>
    <row r="4" customFormat="false" ht="15" hidden="false" customHeight="false" outlineLevel="0" collapsed="false">
      <c r="A4" s="14" t="s">
        <v>98</v>
      </c>
    </row>
    <row r="5" customFormat="false" ht="15" hidden="false" customHeight="false" outlineLevel="0" collapsed="false">
      <c r="A5" s="7" t="s">
        <v>99</v>
      </c>
    </row>
    <row r="6" customFormat="false" ht="15" hidden="false" customHeight="false" outlineLevel="0" collapsed="false">
      <c r="A6" s="7" t="s">
        <v>100</v>
      </c>
    </row>
    <row r="7" customFormat="false" ht="15" hidden="false" customHeight="false" outlineLevel="0" collapsed="false">
      <c r="A7" s="7" t="s">
        <v>101</v>
      </c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14" t="s">
        <v>102</v>
      </c>
    </row>
    <row r="10" customFormat="false" ht="15" hidden="false" customHeight="false" outlineLevel="0" collapsed="false">
      <c r="A10" s="7" t="s">
        <v>103</v>
      </c>
    </row>
    <row r="11" customFormat="false" ht="15" hidden="false" customHeight="false" outlineLevel="0" collapsed="false">
      <c r="A11" s="7" t="s">
        <v>104</v>
      </c>
    </row>
    <row r="12" customFormat="false" ht="15" hidden="false" customHeight="false" outlineLevel="0" collapsed="false">
      <c r="A12" s="7" t="s">
        <v>105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14" t="s">
        <v>106</v>
      </c>
    </row>
    <row r="15" customFormat="false" ht="15" hidden="false" customHeight="false" outlineLevel="0" collapsed="false">
      <c r="A15" s="7" t="s">
        <v>107</v>
      </c>
    </row>
    <row r="16" customFormat="false" ht="15" hidden="false" customHeight="false" outlineLevel="0" collapsed="false">
      <c r="A16" s="7" t="s">
        <v>108</v>
      </c>
    </row>
    <row r="17" customFormat="false" ht="15" hidden="false" customHeight="false" outlineLevel="0" collapsed="false">
      <c r="A17" s="7" t="s">
        <v>109</v>
      </c>
    </row>
    <row r="18" customFormat="false" ht="15" hidden="false" customHeight="false" outlineLevel="0" collapsed="false">
      <c r="A18" s="7" t="s">
        <v>110</v>
      </c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14" t="s">
        <v>111</v>
      </c>
    </row>
    <row r="21" customFormat="false" ht="15" hidden="false" customHeight="false" outlineLevel="0" collapsed="false">
      <c r="A21" s="7" t="s">
        <v>112</v>
      </c>
    </row>
    <row r="22" customFormat="false" ht="15" hidden="false" customHeight="false" outlineLevel="0" collapsed="false">
      <c r="A22" s="7" t="s">
        <v>113</v>
      </c>
    </row>
    <row r="23" customFormat="false" ht="15" hidden="false" customHeight="false" outlineLevel="0" collapsed="false">
      <c r="A23" s="7" t="s">
        <v>114</v>
      </c>
    </row>
    <row r="24" customFormat="false" ht="15" hidden="false" customHeight="false" outlineLevel="0" collapsed="false">
      <c r="A24" s="7" t="s">
        <v>115</v>
      </c>
    </row>
    <row r="25" customFormat="false" ht="15" hidden="false" customHeight="false" outlineLevel="0" collapsed="false">
      <c r="A25" s="7" t="s">
        <v>116</v>
      </c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15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2026-09-09T02:32:55Z</dcterms:created>
  <dc:creator>openpyxl</dc:creator>
  <dc:description/>
  <dc:language>en-US</dc:language>
  <cp:lastModifiedBy/>
  <dcterms:modified xsi:type="dcterms:W3CDTF">2026-09-09T02:32:55Z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